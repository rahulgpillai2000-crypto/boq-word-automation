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hul\Downloads\CODEX\"/>
    </mc:Choice>
  </mc:AlternateContent>
  <xr:revisionPtr revIDLastSave="0" documentId="13_ncr:1_{B0D0E1D4-065B-4DD3-9498-856A37C4FBB0}" xr6:coauthVersionLast="47" xr6:coauthVersionMax="47" xr10:uidLastSave="{00000000-0000-0000-0000-000000000000}"/>
  <bookViews>
    <workbookView xWindow="4044" yWindow="3360" windowWidth="17280" windowHeight="8880" xr2:uid="{F1930575-B4C4-43D3-A28A-EA36E3E761AE}"/>
  </bookViews>
  <sheets>
    <sheet name="Sheet1" sheetId="2" r:id="rId1"/>
    <sheet name="Sheet2" sheetId="1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G2" i="2" l="1"/>
  <c r="F2" i="2"/>
  <c r="E2" i="2"/>
  <c r="D2" i="2"/>
  <c r="C2" i="2"/>
  <c r="B2" i="2"/>
  <c r="E2" i="1" l="1"/>
  <c r="F2" i="1"/>
  <c r="G2" i="1" l="1"/>
</calcChain>
</file>

<file path=xl/sharedStrings.xml><?xml version="1.0" encoding="utf-8"?>
<sst xmlns="http://schemas.openxmlformats.org/spreadsheetml/2006/main" count="26" uniqueCount="14">
  <si>
    <t>Total Value</t>
  </si>
  <si>
    <t>End Date</t>
  </si>
  <si>
    <t>Commencement Date</t>
  </si>
  <si>
    <t>Project Name</t>
  </si>
  <si>
    <t>Work Order Number</t>
  </si>
  <si>
    <t>Contract Number</t>
  </si>
  <si>
    <t>{{Contract_Number}}</t>
  </si>
  <si>
    <t>{{Work_Order_Number}}</t>
  </si>
  <si>
    <t>{{Project_Name}}</t>
  </si>
  <si>
    <t>{{Total_Value}}</t>
  </si>
  <si>
    <t>Date</t>
  </si>
  <si>
    <r>
      <t>{{</t>
    </r>
    <r>
      <rPr>
        <sz val="8"/>
        <color rgb="FFA5D6FF"/>
        <rFont val="Consolas"/>
        <family val="3"/>
      </rPr>
      <t>Date</t>
    </r>
    <r>
      <rPr>
        <sz val="8"/>
        <color rgb="FFFF7B72"/>
        <rFont val="Consolas"/>
        <family val="3"/>
      </rPr>
      <t>}}</t>
    </r>
  </si>
  <si>
    <t>126/2025</t>
  </si>
  <si>
    <t>Rehabilitation works of Landscape - Toilets in Urban Park (Family Park A (T1, T2, T3 &amp; T4)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</si>
</sst>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9"/>
      <color theme="1"/>
      <name val="Verdana"/>
      <family val="2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color rgb="FFFF0000"/>
      <name val="Consolas"/>
      <family val="3"/>
    </font>
    <font>
      <sz val="9"/>
      <color rgb="FFFF0000"/>
      <name val="Verdana"/>
      <family val="2"/>
    </font>
    <font>
      <sz val="8"/>
      <color rgb="FFFF7B72"/>
      <name val="Consolas"/>
      <family val="3"/>
    </font>
    <font>
      <sz val="8"/>
      <color rgb="FFA5D6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43" fontId="0" fillId="0" borderId="0" xfId="1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2" borderId="0" xfId="0" applyFont="1" applyFill="1"/>
    <xf numFmtId="14" fontId="0" fillId="0" borderId="0" xfId="0" applyNumberFormat="1"/>
    <xf numFmtId="0" fontId="5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hul\Downloads\CODEX\BOQ%20-%20WO%20-04-C126%20Rehabilitation%20works%20of%20Landscape%20-%20Toilets%20in%20Urban%20Park%20(Formal%20Park%20-T9,%20Recreational%20Park%20-T11)%20-%20REV.xlsx" TargetMode="External"/><Relationship Id="rId1" Type="http://schemas.openxmlformats.org/officeDocument/2006/relationships/externalLinkPath" Target="BOQ%20-%20WO%20-04-C126%20Rehabilitation%20works%20of%20Landscape%20-%20Toilets%20in%20Urban%20Park%20(Formal%20Park%20-T9,%20Recreational%20Park%20-T11)%20-%20REV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hul\Downloads\CODEX\BOQ%20-%20WO%20-03-C126%20Rehabilitation%20works%20of%20Landscape%20-%20Toilets%20in%20Urban%20Park%20(Family%20Park%20A%20(T1,%20T2,%20T3%20&amp;%20T4)%20-%20REV1.xlsx" TargetMode="External"/><Relationship Id="rId1" Type="http://schemas.openxmlformats.org/officeDocument/2006/relationships/externalLinkPath" Target="BOQ%20-%20WO%20-03-C126%20Rehabilitation%20works%20of%20Landscape%20-%20Toilets%20in%20Urban%20Park%20(Family%20Park%20A%20(T1,%20T2,%20T3%20&amp;%20T4)%20-%20RE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 Order"/>
      <sheetName val="Cost Build-Up"/>
      <sheetName val="Summary"/>
      <sheetName val="Sheet1"/>
      <sheetName val="W.O. Sum (Opt 1)"/>
    </sheetNames>
    <sheetDataSet>
      <sheetData sheetId="0">
        <row r="6">
          <cell r="H6" t="str">
            <v>126/2025</v>
          </cell>
        </row>
        <row r="12">
          <cell r="H12" t="str">
            <v>Rehabilitation works of Landscape - Toilet in parks (Formal Park -T9, Recreational Park -T11 )</v>
          </cell>
        </row>
        <row r="16">
          <cell r="I16">
            <v>4</v>
          </cell>
        </row>
        <row r="20">
          <cell r="I20">
            <v>46082</v>
          </cell>
        </row>
        <row r="24">
          <cell r="I24">
            <v>46281</v>
          </cell>
        </row>
        <row r="44">
          <cell r="M44">
            <v>1281035.5740000005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 Order"/>
      <sheetName val="Cost Build-Up"/>
      <sheetName val="Summary"/>
      <sheetName val="Sheet1"/>
      <sheetName val="W.O. Sum (Opt 1)"/>
    </sheetNames>
    <sheetDataSet>
      <sheetData sheetId="0">
        <row r="44">
          <cell r="M44">
            <v>2133751.9769999986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85D6B-4DCB-4639-A005-E7AAAAEE21E5}">
  <sheetPr>
    <tabColor theme="1"/>
  </sheetPr>
  <dimension ref="A1:G9"/>
  <sheetViews>
    <sheetView tabSelected="1" workbookViewId="0">
      <selection activeCell="L2" sqref="L2"/>
    </sheetView>
  </sheetViews>
  <sheetFormatPr defaultRowHeight="11.4" x14ac:dyDescent="0.2"/>
  <cols>
    <col min="5" max="5" width="13.59765625" customWidth="1"/>
    <col min="6" max="6" width="12.5" customWidth="1"/>
  </cols>
  <sheetData>
    <row r="1" spans="1:7" ht="34.200000000000003" x14ac:dyDescent="0.2">
      <c r="A1" s="4" t="s">
        <v>5</v>
      </c>
      <c r="B1" s="4" t="s">
        <v>4</v>
      </c>
      <c r="C1" s="4" t="s">
        <v>3</v>
      </c>
      <c r="D1" s="4" t="s">
        <v>2</v>
      </c>
      <c r="E1" s="4" t="s">
        <v>1</v>
      </c>
      <c r="F1" s="4" t="s">
        <v>0</v>
      </c>
      <c r="G1" s="4" t="s">
        <v>10</v>
      </c>
    </row>
    <row r="2" spans="1:7" ht="136.80000000000001" x14ac:dyDescent="0.2">
      <c r="A2" s="1" t="str">
        <f>+'[1]Work Order'!H6</f>
        <v>126/2025</v>
      </c>
      <c r="B2" s="1">
        <f>+'[1]Work Order'!I16</f>
        <v>4</v>
      </c>
      <c r="C2" s="3" t="str">
        <f>+'[1]Work Order'!H12</f>
        <v>Rehabilitation works of Landscape - Toilet in parks (Formal Park -T9, Recreational Park -T11 )</v>
      </c>
      <c r="D2" s="2">
        <f>+'[1]Work Order'!I20</f>
        <v>46082</v>
      </c>
      <c r="E2" s="2">
        <f>+'[1]Work Order'!I24</f>
        <v>46281</v>
      </c>
      <c r="F2" s="5">
        <f>+'[1]Work Order'!M44</f>
        <v>1281035.5740000005</v>
      </c>
      <c r="G2" s="10">
        <f ca="1">+TODAY()</f>
        <v>46083</v>
      </c>
    </row>
    <row r="3" spans="1:7" x14ac:dyDescent="0.2">
      <c r="A3" s="1"/>
      <c r="B3" s="1"/>
      <c r="C3" s="3"/>
      <c r="D3" s="2"/>
      <c r="E3" s="2"/>
      <c r="F3" s="5"/>
    </row>
    <row r="4" spans="1:7" x14ac:dyDescent="0.2">
      <c r="A4" s="1"/>
      <c r="B4" s="1"/>
      <c r="C4" s="3"/>
      <c r="D4" s="2"/>
      <c r="E4" s="2"/>
      <c r="F4" s="5"/>
    </row>
    <row r="5" spans="1:7" x14ac:dyDescent="0.2">
      <c r="A5" s="1"/>
      <c r="B5" s="1"/>
      <c r="C5" s="3"/>
      <c r="D5" s="2"/>
      <c r="E5" s="2"/>
      <c r="F5" s="5"/>
    </row>
    <row r="6" spans="1:7" x14ac:dyDescent="0.2">
      <c r="A6" s="1"/>
      <c r="B6" s="1"/>
      <c r="C6" s="3"/>
      <c r="D6" s="2"/>
      <c r="E6" s="2"/>
      <c r="F6" s="5"/>
    </row>
    <row r="7" spans="1:7" x14ac:dyDescent="0.2">
      <c r="A7" s="1"/>
      <c r="B7" s="1"/>
      <c r="C7" s="3"/>
      <c r="D7" s="2"/>
      <c r="E7" s="2"/>
      <c r="F7" s="5"/>
    </row>
    <row r="8" spans="1:7" x14ac:dyDescent="0.2">
      <c r="A8" s="1"/>
      <c r="B8" s="1"/>
      <c r="C8" s="3"/>
      <c r="D8" s="2"/>
      <c r="E8" s="2"/>
      <c r="F8" s="5"/>
    </row>
    <row r="9" spans="1:7" x14ac:dyDescent="0.2">
      <c r="A9" s="6" t="s">
        <v>6</v>
      </c>
      <c r="B9" s="6" t="s">
        <v>7</v>
      </c>
      <c r="C9" s="6" t="s">
        <v>8</v>
      </c>
      <c r="D9" s="7"/>
      <c r="E9" s="7"/>
      <c r="F9" s="6" t="s">
        <v>9</v>
      </c>
      <c r="G9" s="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4257-65F2-4DD2-BDB4-88F61C5CF214}">
  <sheetPr>
    <tabColor theme="1"/>
  </sheetPr>
  <dimension ref="A1:G9"/>
  <sheetViews>
    <sheetView topLeftCell="B1" zoomScale="79" workbookViewId="0">
      <selection activeCell="K19" sqref="K19"/>
    </sheetView>
  </sheetViews>
  <sheetFormatPr defaultRowHeight="11.4" x14ac:dyDescent="0.2"/>
  <cols>
    <col min="1" max="6" width="20.3984375" customWidth="1"/>
    <col min="7" max="7" width="21.19921875" customWidth="1"/>
  </cols>
  <sheetData>
    <row r="1" spans="1:7" x14ac:dyDescent="0.2">
      <c r="A1" s="4" t="s">
        <v>5</v>
      </c>
      <c r="B1" s="4" t="s">
        <v>4</v>
      </c>
      <c r="C1" s="4" t="s">
        <v>3</v>
      </c>
      <c r="D1" s="4" t="s">
        <v>2</v>
      </c>
      <c r="E1" s="4" t="s">
        <v>1</v>
      </c>
      <c r="F1" s="4" t="s">
        <v>0</v>
      </c>
      <c r="G1" s="4" t="s">
        <v>10</v>
      </c>
    </row>
    <row r="2" spans="1:7" ht="45.6" x14ac:dyDescent="0.2">
      <c r="A2" s="1" t="s">
        <v>12</v>
      </c>
      <c r="B2" s="1">
        <v>3</v>
      </c>
      <c r="C2" s="3" t="s">
        <v>13</v>
      </c>
      <c r="D2" s="2">
        <v>46082</v>
      </c>
      <c r="E2" s="2">
        <f>+D2+180</f>
        <v>46262</v>
      </c>
      <c r="F2" s="5">
        <f>+'[2]Work Order'!$M$44</f>
        <v>2133751.9769999986</v>
      </c>
      <c r="G2" s="8">
        <f ca="1">+TODAY()</f>
        <v>46083</v>
      </c>
    </row>
    <row r="3" spans="1:7" x14ac:dyDescent="0.2">
      <c r="A3" s="1"/>
      <c r="B3" s="1"/>
      <c r="C3" s="3"/>
      <c r="D3" s="2"/>
      <c r="E3" s="2"/>
      <c r="F3" s="5"/>
    </row>
    <row r="4" spans="1:7" x14ac:dyDescent="0.2">
      <c r="A4" s="1"/>
      <c r="B4" s="1"/>
      <c r="C4" s="3"/>
      <c r="D4" s="2"/>
      <c r="E4" s="2"/>
      <c r="F4" s="5"/>
    </row>
    <row r="5" spans="1:7" x14ac:dyDescent="0.2">
      <c r="A5" s="1"/>
      <c r="B5" s="1"/>
      <c r="C5" s="3"/>
      <c r="D5" s="2"/>
      <c r="E5" s="2"/>
      <c r="F5" s="5"/>
    </row>
    <row r="6" spans="1:7" x14ac:dyDescent="0.2">
      <c r="A6" s="1"/>
      <c r="B6" s="1"/>
      <c r="C6" s="3"/>
      <c r="D6" s="2"/>
      <c r="E6" s="2"/>
      <c r="F6" s="5"/>
    </row>
    <row r="7" spans="1:7" x14ac:dyDescent="0.2">
      <c r="A7" s="1"/>
      <c r="B7" s="1"/>
      <c r="C7" s="3"/>
      <c r="D7" s="2"/>
      <c r="E7" s="2"/>
      <c r="F7" s="5"/>
    </row>
    <row r="8" spans="1:7" x14ac:dyDescent="0.2">
      <c r="A8" s="1"/>
      <c r="B8" s="1"/>
      <c r="C8" s="3"/>
      <c r="D8" s="2"/>
      <c r="E8" s="2"/>
      <c r="F8" s="5"/>
    </row>
    <row r="9" spans="1:7" ht="45" customHeight="1" x14ac:dyDescent="0.2">
      <c r="A9" s="6" t="s">
        <v>6</v>
      </c>
      <c r="B9" s="6" t="s">
        <v>7</v>
      </c>
      <c r="C9" s="6" t="s">
        <v>8</v>
      </c>
      <c r="D9" s="7"/>
      <c r="E9" s="7"/>
      <c r="F9" s="6" t="s">
        <v>9</v>
      </c>
      <c r="G9" s="9" t="s">
        <v>11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Pillai</dc:creator>
  <cp:lastModifiedBy>Rahul Pillai</cp:lastModifiedBy>
  <dcterms:created xsi:type="dcterms:W3CDTF">2026-02-27T17:29:31Z</dcterms:created>
  <dcterms:modified xsi:type="dcterms:W3CDTF">2026-03-02T07:42:28Z</dcterms:modified>
</cp:coreProperties>
</file>